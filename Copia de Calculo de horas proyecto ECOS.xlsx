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HXbM0IPPXbYAIrOjcJvVVLMry/9ij6UKQ8ojNDCe6I="/>
    </ext>
  </extLst>
</workbook>
</file>

<file path=xl/sharedStrings.xml><?xml version="1.0" encoding="utf-8"?>
<sst xmlns="http://schemas.openxmlformats.org/spreadsheetml/2006/main" count="104" uniqueCount="48">
  <si>
    <t>SPRINT 1</t>
  </si>
  <si>
    <t>Semanas destinadas</t>
  </si>
  <si>
    <t>HISTORIA DE USUARIO</t>
  </si>
  <si>
    <t>PUNTAJE</t>
  </si>
  <si>
    <t>INTEGRANTES</t>
  </si>
  <si>
    <t>DÍAS DEL SPRINT</t>
  </si>
  <si>
    <t>HORAS DEL DÍA</t>
  </si>
  <si>
    <t>CAPACIDAD TOTAL (HORAS)</t>
  </si>
  <si>
    <t xml:space="preserve">VELOCIDAD </t>
  </si>
  <si>
    <t>H1  Crear Publicacion</t>
  </si>
  <si>
    <t>H2 Registro de usuarios</t>
  </si>
  <si>
    <t>H3 Inicio de Sesion</t>
  </si>
  <si>
    <t>H4 visualizar casos</t>
  </si>
  <si>
    <t>SPRINT 2</t>
  </si>
  <si>
    <t>H1 Almacenar usuarios</t>
  </si>
  <si>
    <t>H2 Notificaciones</t>
  </si>
  <si>
    <t>H3 Perfil de usuario</t>
  </si>
  <si>
    <t>H4 Moderacion de contenido</t>
  </si>
  <si>
    <t>SPRINT 3</t>
  </si>
  <si>
    <t>H1 Busqueda de publicaciones</t>
  </si>
  <si>
    <t>H2 Comentarios en publicaciones</t>
  </si>
  <si>
    <t>H3 Reportar usuarios</t>
  </si>
  <si>
    <t>H4 Recuperar contraseña</t>
  </si>
  <si>
    <t>SPRINT 4</t>
  </si>
  <si>
    <t xml:space="preserve">H1 seguir creadores </t>
  </si>
  <si>
    <t xml:space="preserve">H2  Bloqueo de usuarios </t>
  </si>
  <si>
    <t>H3 ocultar el contenido no apetecido</t>
  </si>
  <si>
    <t xml:space="preserve">H4 me gusta, no me gusta </t>
  </si>
  <si>
    <t>SPRINT 5</t>
  </si>
  <si>
    <t>H1 Historial</t>
  </si>
  <si>
    <t>H2 Compartir</t>
  </si>
  <si>
    <t>H3 Control de chat</t>
  </si>
  <si>
    <t>H4 Creacion de encuestas</t>
  </si>
  <si>
    <t>SPRINT 6</t>
  </si>
  <si>
    <t>H1 Pausar, adelantar y atrasar videos</t>
  </si>
  <si>
    <t>H2 Baneos</t>
  </si>
  <si>
    <t>H3 Sugerir contenido</t>
  </si>
  <si>
    <t>H4 Votaciones</t>
  </si>
  <si>
    <t>SPRINT 7</t>
  </si>
  <si>
    <t>H1 Gestion de advertencias</t>
  </si>
  <si>
    <t>H2 Revisar reportes pendientes</t>
  </si>
  <si>
    <t>H3 Fijar publicaciones en el plano</t>
  </si>
  <si>
    <t>H4 Gestionar moderadores del plano</t>
  </si>
  <si>
    <t>SPRINT 8</t>
  </si>
  <si>
    <t>H1 Crear dinamicas en el plano</t>
  </si>
  <si>
    <t>H2 Estadísticas del plano</t>
  </si>
  <si>
    <t>H3 Programar publicaciones</t>
  </si>
  <si>
    <t>H4 Pruebas de integracion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</si>
</sst>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/>
    <font>
      <b/>
      <sz val="14.0"/>
      <color rgb="FFFFFFFF"/>
      <name val="Calibri"/>
    </font>
    <font>
      <b/>
      <sz val="14.0"/>
      <color theme="0"/>
      <name val="Calibri"/>
    </font>
    <font>
      <color rgb="FF000000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theme="7"/>
        <bgColor theme="7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5" numFmtId="0" xfId="0" applyBorder="1" applyFill="1" applyFont="1"/>
    <xf borderId="6" fillId="3" fontId="5" numFmtId="0" xfId="0" applyAlignment="1" applyBorder="1" applyFont="1">
      <alignment horizontal="center"/>
    </xf>
    <xf borderId="6" fillId="3" fontId="6" numFmtId="0" xfId="0" applyBorder="1" applyFont="1"/>
    <xf borderId="7" fillId="0" fontId="4" numFmtId="0" xfId="0" applyBorder="1" applyFont="1"/>
    <xf borderId="8" fillId="0" fontId="4" numFmtId="0" xfId="0" applyBorder="1" applyFont="1"/>
    <xf borderId="9" fillId="3" fontId="6" numFmtId="0" xfId="0" applyBorder="1" applyFont="1"/>
    <xf borderId="10" fillId="3" fontId="6" numFmtId="0" xfId="0" applyBorder="1" applyFont="1"/>
    <xf borderId="11" fillId="3" fontId="6" numFmtId="0" xfId="0" applyBorder="1" applyFont="1"/>
    <xf borderId="9" fillId="0" fontId="3" numFmtId="0" xfId="0" applyAlignment="1" applyBorder="1" applyFont="1">
      <alignment readingOrder="0"/>
    </xf>
    <xf borderId="10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3" numFmtId="0" xfId="0" applyAlignment="1" applyBorder="1" applyFont="1">
      <alignment readingOrder="0"/>
    </xf>
    <xf borderId="15" fillId="0" fontId="3" numFmtId="0" xfId="0" applyAlignment="1" applyBorder="1" applyFont="1">
      <alignment horizontal="center"/>
    </xf>
    <xf borderId="16" fillId="0" fontId="4" numFmtId="0" xfId="0" applyBorder="1" applyFont="1"/>
    <xf borderId="0" fillId="4" fontId="1" numFmtId="0" xfId="0" applyFill="1" applyFont="1"/>
    <xf borderId="9" fillId="0" fontId="3" numFmtId="0" xfId="0" applyBorder="1" applyFont="1"/>
    <xf borderId="10" fillId="0" fontId="3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Alignment="1" applyBorder="1" applyFont="1">
      <alignment horizontal="center" vertical="center"/>
    </xf>
    <xf borderId="0" fillId="5" fontId="1" numFmtId="0" xfId="0" applyFill="1" applyFont="1"/>
    <xf borderId="10" fillId="6" fontId="7" numFmtId="0" xfId="0" applyAlignment="1" applyBorder="1" applyFill="1" applyFont="1">
      <alignment horizontal="left" shrinkToFit="0" wrapText="0"/>
    </xf>
    <xf borderId="10" fillId="6" fontId="7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vertical="bottom"/>
    </xf>
    <xf borderId="2" fillId="0" fontId="8" numFmtId="0" xfId="0" applyAlignment="1" applyBorder="1" applyFont="1">
      <alignment vertical="bottom"/>
    </xf>
    <xf borderId="5" fillId="7" fontId="5" numFmtId="0" xfId="0" applyAlignment="1" applyBorder="1" applyFill="1" applyFont="1">
      <alignment vertical="bottom"/>
    </xf>
    <xf borderId="6" fillId="7" fontId="8" numFmtId="0" xfId="0" applyAlignment="1" applyBorder="1" applyFont="1">
      <alignment vertical="bottom"/>
    </xf>
    <xf borderId="6" fillId="7" fontId="5" numFmtId="0" xfId="0" applyAlignment="1" applyBorder="1" applyFont="1">
      <alignment vertical="bottom"/>
    </xf>
    <xf borderId="9" fillId="7" fontId="5" numFmtId="0" xfId="0" applyAlignment="1" applyBorder="1" applyFont="1">
      <alignment vertical="bottom"/>
    </xf>
    <xf borderId="10" fillId="7" fontId="5" numFmtId="0" xfId="0" applyAlignment="1" applyBorder="1" applyFont="1">
      <alignment vertical="bottom"/>
    </xf>
    <xf borderId="11" fillId="7" fontId="5" numFmtId="0" xfId="0" applyAlignment="1" applyBorder="1" applyFont="1">
      <alignment vertical="bottom"/>
    </xf>
    <xf borderId="0" fillId="8" fontId="1" numFmtId="0" xfId="0" applyFill="1" applyFont="1"/>
    <xf borderId="9" fillId="0" fontId="3" numFmtId="0" xfId="0" applyAlignment="1" applyBorder="1" applyFont="1">
      <alignment vertical="bottom"/>
    </xf>
    <xf borderId="10" fillId="0" fontId="8" numFmtId="0" xfId="0" applyAlignment="1" applyBorder="1" applyFont="1">
      <alignment horizontal="center" vertical="bottom"/>
    </xf>
    <xf borderId="14" fillId="0" fontId="3" numFmtId="0" xfId="0" applyAlignment="1" applyBorder="1" applyFont="1">
      <alignment vertical="bottom"/>
    </xf>
    <xf borderId="15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1.14"/>
    <col customWidth="1" min="3" max="3" width="11.43"/>
    <col customWidth="1" min="4" max="4" width="23.14"/>
    <col customWidth="1" min="5" max="5" width="20.29"/>
    <col customWidth="1" min="6" max="6" width="19.0"/>
    <col customWidth="1" min="7" max="7" width="33.71"/>
    <col customWidth="1" min="8" max="8" width="15.0"/>
    <col customWidth="1" min="9" max="26" width="10.71"/>
  </cols>
  <sheetData>
    <row r="2">
      <c r="A2" s="1"/>
      <c r="B2" s="2" t="s">
        <v>0</v>
      </c>
      <c r="C2" s="3"/>
      <c r="D2" s="4"/>
      <c r="E2" s="4"/>
      <c r="F2" s="4"/>
      <c r="G2" s="4"/>
      <c r="H2" s="5"/>
    </row>
    <row r="3">
      <c r="A3" s="1"/>
      <c r="B3" s="6" t="s">
        <v>1</v>
      </c>
      <c r="C3" s="7"/>
      <c r="D3" s="8" t="str">
        <f>if(C3&gt;4,"No viable","Viable")</f>
        <v>Viable</v>
      </c>
      <c r="E3" s="8" t="str">
        <f>CONCATENATE("Las semanas destinadas son: "&amp; C3)</f>
        <v>Las semanas destinadas son: </v>
      </c>
      <c r="F3" s="9"/>
      <c r="G3" s="9"/>
      <c r="H3" s="10"/>
    </row>
    <row r="4">
      <c r="A4" s="1"/>
      <c r="B4" s="11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3" t="s">
        <v>8</v>
      </c>
    </row>
    <row r="5">
      <c r="A5" s="1"/>
      <c r="B5" s="14" t="s">
        <v>9</v>
      </c>
      <c r="C5" s="15">
        <v>3.0</v>
      </c>
      <c r="D5" s="15">
        <v>3.0</v>
      </c>
      <c r="E5" s="15">
        <v>5.0</v>
      </c>
      <c r="F5" s="15">
        <v>5.0</v>
      </c>
      <c r="G5" s="16">
        <v>75.0</v>
      </c>
      <c r="H5" s="17">
        <f>AVERAGE(C5:C8)</f>
        <v>2</v>
      </c>
    </row>
    <row r="6">
      <c r="A6" s="1"/>
      <c r="B6" s="14" t="s">
        <v>10</v>
      </c>
      <c r="C6" s="15">
        <v>3.0</v>
      </c>
      <c r="D6" s="15">
        <v>2.0</v>
      </c>
      <c r="E6" s="15">
        <v>5.0</v>
      </c>
      <c r="F6" s="15">
        <v>4.0</v>
      </c>
      <c r="G6" s="16">
        <v>40.0</v>
      </c>
      <c r="H6" s="18"/>
    </row>
    <row r="7">
      <c r="A7" s="1"/>
      <c r="B7" s="14" t="s">
        <v>11</v>
      </c>
      <c r="C7" s="15">
        <v>1.0</v>
      </c>
      <c r="D7" s="15">
        <v>3.0</v>
      </c>
      <c r="E7" s="15">
        <v>5.0</v>
      </c>
      <c r="F7" s="15">
        <v>4.0</v>
      </c>
      <c r="G7" s="16">
        <v>40.0</v>
      </c>
      <c r="H7" s="18"/>
    </row>
    <row r="8">
      <c r="A8" s="1"/>
      <c r="B8" s="19" t="s">
        <v>12</v>
      </c>
      <c r="C8" s="20">
        <v>1.0</v>
      </c>
      <c r="D8" s="20">
        <v>3.0</v>
      </c>
      <c r="E8" s="20">
        <v>5.0</v>
      </c>
      <c r="F8" s="20">
        <v>4.0</v>
      </c>
      <c r="G8" s="16">
        <v>60.0</v>
      </c>
      <c r="H8" s="21"/>
    </row>
    <row r="9">
      <c r="A9" s="1"/>
    </row>
    <row r="10" ht="15.75" customHeight="1">
      <c r="A10" s="1"/>
      <c r="B10" s="2" t="s">
        <v>13</v>
      </c>
      <c r="C10" s="3"/>
      <c r="D10" s="4"/>
      <c r="E10" s="4"/>
      <c r="F10" s="4"/>
      <c r="G10" s="4"/>
      <c r="H10" s="5"/>
    </row>
    <row r="11" ht="15.75" customHeight="1">
      <c r="A11" s="1"/>
      <c r="B11" s="6" t="s">
        <v>1</v>
      </c>
      <c r="C11" s="7"/>
      <c r="D11" s="8" t="str">
        <f>if(C11&gt;4,"No viable","Viable")</f>
        <v>Viable</v>
      </c>
      <c r="E11" s="8" t="str">
        <f>CONCATENATE("Las semanas destinadas son: "&amp; C11)</f>
        <v>Las semanas destinadas son: </v>
      </c>
      <c r="F11" s="9"/>
      <c r="G11" s="9"/>
      <c r="H11" s="10"/>
    </row>
    <row r="12" ht="15.75" customHeight="1">
      <c r="A12" s="1"/>
      <c r="B12" s="11" t="s">
        <v>2</v>
      </c>
      <c r="C12" s="12" t="s">
        <v>3</v>
      </c>
      <c r="D12" s="12" t="s">
        <v>4</v>
      </c>
      <c r="E12" s="12" t="s">
        <v>5</v>
      </c>
      <c r="F12" s="12" t="s">
        <v>6</v>
      </c>
      <c r="G12" s="12" t="s">
        <v>7</v>
      </c>
      <c r="H12" s="13" t="s">
        <v>8</v>
      </c>
    </row>
    <row r="13" ht="15.75" customHeight="1">
      <c r="A13" s="1"/>
      <c r="B13" s="14" t="s">
        <v>14</v>
      </c>
      <c r="C13" s="15">
        <v>5.0</v>
      </c>
      <c r="D13" s="15">
        <v>2.0</v>
      </c>
      <c r="E13" s="15">
        <v>5.0</v>
      </c>
      <c r="F13" s="15">
        <v>6.0</v>
      </c>
      <c r="G13" s="16">
        <v>60.0</v>
      </c>
      <c r="H13" s="17">
        <f>AVERAGE(C13:C16)</f>
        <v>4.5</v>
      </c>
    </row>
    <row r="14" ht="15.75" customHeight="1">
      <c r="A14" s="1"/>
      <c r="B14" s="14" t="s">
        <v>15</v>
      </c>
      <c r="C14" s="15">
        <v>5.0</v>
      </c>
      <c r="D14" s="15">
        <v>2.0</v>
      </c>
      <c r="E14" s="15">
        <v>5.0</v>
      </c>
      <c r="F14" s="15">
        <v>4.0</v>
      </c>
      <c r="G14" s="16">
        <v>40.0</v>
      </c>
      <c r="H14" s="18"/>
    </row>
    <row r="15" ht="15.75" customHeight="1">
      <c r="A15" s="1"/>
      <c r="B15" s="14" t="s">
        <v>16</v>
      </c>
      <c r="C15" s="15">
        <v>3.0</v>
      </c>
      <c r="D15" s="15">
        <v>2.0</v>
      </c>
      <c r="E15" s="15">
        <v>5.0</v>
      </c>
      <c r="F15" s="15">
        <v>4.0</v>
      </c>
      <c r="G15" s="16">
        <v>40.0</v>
      </c>
      <c r="H15" s="18"/>
    </row>
    <row r="16" ht="15.75" customHeight="1">
      <c r="A16" s="1"/>
      <c r="B16" s="19" t="s">
        <v>17</v>
      </c>
      <c r="C16" s="20">
        <v>5.0</v>
      </c>
      <c r="D16" s="20">
        <v>2.0</v>
      </c>
      <c r="E16" s="20">
        <v>5.0</v>
      </c>
      <c r="F16" s="20">
        <v>6.0</v>
      </c>
      <c r="G16" s="16">
        <f>D16*E16*F16</f>
        <v>60</v>
      </c>
      <c r="H16" s="21"/>
    </row>
    <row r="17" ht="15.75" customHeight="1"/>
    <row r="18" ht="15.75" customHeight="1">
      <c r="A18" s="22"/>
      <c r="B18" s="2" t="s">
        <v>18</v>
      </c>
      <c r="C18" s="3"/>
      <c r="D18" s="4"/>
      <c r="E18" s="4"/>
      <c r="F18" s="4"/>
      <c r="G18" s="4"/>
      <c r="H18" s="5"/>
    </row>
    <row r="19" ht="15.75" customHeight="1">
      <c r="A19" s="22"/>
      <c r="B19" s="6" t="s">
        <v>1</v>
      </c>
      <c r="C19" s="7"/>
      <c r="D19" s="8" t="str">
        <f>if(C19&gt;4,"No viable","Viable")</f>
        <v>Viable</v>
      </c>
      <c r="E19" s="8" t="str">
        <f>CONCATENATE("Las semanas destinadas son: "&amp; C19)</f>
        <v>Las semanas destinadas son: </v>
      </c>
      <c r="F19" s="9"/>
      <c r="G19" s="9"/>
      <c r="H19" s="10"/>
    </row>
    <row r="20" ht="15.75" customHeight="1">
      <c r="A20" s="22"/>
      <c r="B20" s="11" t="s">
        <v>2</v>
      </c>
      <c r="C20" s="12" t="s">
        <v>3</v>
      </c>
      <c r="D20" s="12" t="s">
        <v>4</v>
      </c>
      <c r="E20" s="12" t="s">
        <v>5</v>
      </c>
      <c r="F20" s="12" t="s">
        <v>6</v>
      </c>
      <c r="G20" s="12" t="s">
        <v>7</v>
      </c>
      <c r="H20" s="13" t="s">
        <v>8</v>
      </c>
    </row>
    <row r="21">
      <c r="A21" s="22"/>
      <c r="B21" s="23" t="s">
        <v>19</v>
      </c>
      <c r="C21" s="24">
        <v>3.0</v>
      </c>
      <c r="D21" s="24">
        <v>1.0</v>
      </c>
      <c r="E21" s="24">
        <v>2.0</v>
      </c>
      <c r="F21" s="24">
        <v>6.0</v>
      </c>
      <c r="G21" s="24">
        <f t="shared" ref="G21:G24" si="1">D21*E21*F21</f>
        <v>12</v>
      </c>
      <c r="H21" s="17">
        <f>AVERAGE(C21:C24)</f>
        <v>4</v>
      </c>
    </row>
    <row r="22">
      <c r="A22" s="22"/>
      <c r="B22" s="23" t="s">
        <v>20</v>
      </c>
      <c r="C22" s="24">
        <v>5.0</v>
      </c>
      <c r="D22" s="24">
        <v>2.0</v>
      </c>
      <c r="E22" s="24">
        <v>3.0</v>
      </c>
      <c r="F22" s="24">
        <v>6.0</v>
      </c>
      <c r="G22" s="24">
        <f t="shared" si="1"/>
        <v>36</v>
      </c>
      <c r="H22" s="18"/>
    </row>
    <row r="23">
      <c r="A23" s="22"/>
      <c r="B23" s="23" t="s">
        <v>21</v>
      </c>
      <c r="C23" s="24">
        <v>5.0</v>
      </c>
      <c r="D23" s="24">
        <v>2.0</v>
      </c>
      <c r="E23" s="24">
        <v>3.0</v>
      </c>
      <c r="F23" s="24">
        <v>6.0</v>
      </c>
      <c r="G23" s="24">
        <f t="shared" si="1"/>
        <v>36</v>
      </c>
      <c r="H23" s="18"/>
    </row>
    <row r="24">
      <c r="A24" s="22"/>
      <c r="B24" s="25" t="s">
        <v>22</v>
      </c>
      <c r="C24" s="26">
        <v>3.0</v>
      </c>
      <c r="D24" s="24">
        <v>1.0</v>
      </c>
      <c r="E24" s="26">
        <v>4.0</v>
      </c>
      <c r="F24" s="26">
        <v>6.0</v>
      </c>
      <c r="G24" s="24">
        <f t="shared" si="1"/>
        <v>24</v>
      </c>
      <c r="H24" s="21"/>
    </row>
    <row r="25" ht="15.75" customHeight="1">
      <c r="A25" s="22"/>
    </row>
    <row r="26" ht="15.75" customHeight="1">
      <c r="A26" s="22"/>
      <c r="B26" s="2" t="s">
        <v>23</v>
      </c>
      <c r="C26" s="3"/>
      <c r="D26" s="4"/>
      <c r="E26" s="4"/>
      <c r="F26" s="4"/>
      <c r="G26" s="4"/>
      <c r="H26" s="5"/>
    </row>
    <row r="27" ht="15.75" customHeight="1">
      <c r="A27" s="22"/>
      <c r="B27" s="6" t="s">
        <v>1</v>
      </c>
      <c r="C27" s="7"/>
      <c r="D27" s="8" t="str">
        <f>if(C27&gt;4,"No viable","Viable")</f>
        <v>Viable</v>
      </c>
      <c r="E27" s="8" t="str">
        <f>CONCATENATE("Las semanas destinadas son: "&amp; C27)</f>
        <v>Las semanas destinadas son: </v>
      </c>
      <c r="F27" s="9"/>
      <c r="G27" s="9"/>
      <c r="H27" s="10"/>
    </row>
    <row r="28" ht="15.75" customHeight="1">
      <c r="A28" s="22"/>
      <c r="B28" s="11" t="s">
        <v>2</v>
      </c>
      <c r="C28" s="12" t="s">
        <v>3</v>
      </c>
      <c r="D28" s="12" t="s">
        <v>4</v>
      </c>
      <c r="E28" s="12" t="s">
        <v>5</v>
      </c>
      <c r="F28" s="12" t="s">
        <v>6</v>
      </c>
      <c r="G28" s="12" t="s">
        <v>7</v>
      </c>
      <c r="H28" s="13" t="s">
        <v>8</v>
      </c>
    </row>
    <row r="29">
      <c r="A29" s="22"/>
      <c r="B29" s="23" t="s">
        <v>24</v>
      </c>
      <c r="C29" s="15">
        <v>3.0</v>
      </c>
      <c r="D29" s="24">
        <v>1.0</v>
      </c>
      <c r="E29" s="15">
        <v>2.0</v>
      </c>
      <c r="F29" s="15">
        <v>6.0</v>
      </c>
      <c r="G29" s="16">
        <f t="shared" ref="G29:G32" si="2">D29*E29*F29</f>
        <v>12</v>
      </c>
      <c r="H29" s="17">
        <f>AVERAGE(C29:C32)</f>
        <v>4.75</v>
      </c>
    </row>
    <row r="30" ht="15.75" customHeight="1">
      <c r="A30" s="22"/>
      <c r="B30" s="23" t="s">
        <v>25</v>
      </c>
      <c r="C30" s="15">
        <v>5.0</v>
      </c>
      <c r="D30" s="24">
        <v>2.0</v>
      </c>
      <c r="E30" s="15">
        <v>4.0</v>
      </c>
      <c r="F30" s="15">
        <v>6.0</v>
      </c>
      <c r="G30" s="16">
        <f t="shared" si="2"/>
        <v>48</v>
      </c>
      <c r="H30" s="18"/>
    </row>
    <row r="31" ht="15.75" customHeight="1">
      <c r="A31" s="22"/>
      <c r="B31" s="23" t="s">
        <v>26</v>
      </c>
      <c r="C31" s="15">
        <v>8.0</v>
      </c>
      <c r="D31" s="24">
        <v>3.0</v>
      </c>
      <c r="E31" s="15">
        <v>4.0</v>
      </c>
      <c r="F31" s="15">
        <v>6.0</v>
      </c>
      <c r="G31" s="16">
        <f t="shared" si="2"/>
        <v>72</v>
      </c>
      <c r="H31" s="18"/>
    </row>
    <row r="32" ht="15.75" customHeight="1">
      <c r="A32" s="22"/>
      <c r="B32" s="25" t="s">
        <v>27</v>
      </c>
      <c r="C32" s="20">
        <v>3.0</v>
      </c>
      <c r="D32" s="24">
        <v>1.0</v>
      </c>
      <c r="E32" s="20">
        <v>2.0</v>
      </c>
      <c r="F32" s="20">
        <v>6.0</v>
      </c>
      <c r="G32" s="16">
        <f t="shared" si="2"/>
        <v>12</v>
      </c>
      <c r="H32" s="21"/>
    </row>
    <row r="33" ht="15.75" customHeight="1"/>
    <row r="34" ht="15.75" customHeight="1">
      <c r="A34" s="27"/>
      <c r="B34" s="2" t="s">
        <v>28</v>
      </c>
      <c r="C34" s="3"/>
      <c r="D34" s="4"/>
      <c r="E34" s="4"/>
      <c r="F34" s="4"/>
      <c r="G34" s="4"/>
      <c r="H34" s="5"/>
    </row>
    <row r="35" ht="15.75" customHeight="1">
      <c r="A35" s="27"/>
      <c r="B35" s="6" t="s">
        <v>1</v>
      </c>
      <c r="C35" s="7"/>
      <c r="D35" s="8" t="str">
        <f>if(C35&gt;4,"No viable","Viable")</f>
        <v>Viable</v>
      </c>
      <c r="E35" s="8" t="str">
        <f>CONCATENATE("Las semanas destinadas son: "&amp; C35)</f>
        <v>Las semanas destinadas son: </v>
      </c>
      <c r="F35" s="9"/>
      <c r="G35" s="9"/>
      <c r="H35" s="10"/>
    </row>
    <row r="36" ht="15.75" customHeight="1">
      <c r="A36" s="27"/>
      <c r="B36" s="11" t="s">
        <v>2</v>
      </c>
      <c r="C36" s="12" t="s">
        <v>3</v>
      </c>
      <c r="D36" s="12" t="s">
        <v>4</v>
      </c>
      <c r="E36" s="12" t="s">
        <v>5</v>
      </c>
      <c r="F36" s="12" t="s">
        <v>6</v>
      </c>
      <c r="G36" s="12" t="s">
        <v>7</v>
      </c>
      <c r="H36" s="13" t="s">
        <v>8</v>
      </c>
    </row>
    <row r="37" ht="15.75" customHeight="1">
      <c r="A37" s="27"/>
      <c r="B37" s="28" t="s">
        <v>29</v>
      </c>
      <c r="C37" s="29">
        <v>5.0</v>
      </c>
      <c r="D37" s="29">
        <v>1.0</v>
      </c>
      <c r="E37" s="29">
        <v>2.0</v>
      </c>
      <c r="F37" s="29">
        <v>5.0</v>
      </c>
      <c r="G37" s="29">
        <f t="shared" ref="G37:G38" si="3">D37*E37*F37</f>
        <v>10</v>
      </c>
      <c r="H37" s="17">
        <f>AVERAGE(C37:C40)</f>
        <v>5</v>
      </c>
    </row>
    <row r="38" ht="15.75" customHeight="1">
      <c r="A38" s="27"/>
      <c r="B38" s="28" t="s">
        <v>30</v>
      </c>
      <c r="C38" s="29">
        <v>5.0</v>
      </c>
      <c r="D38" s="29">
        <v>1.0</v>
      </c>
      <c r="E38" s="29">
        <v>3.0</v>
      </c>
      <c r="F38" s="29">
        <v>5.0</v>
      </c>
      <c r="G38" s="29">
        <f t="shared" si="3"/>
        <v>15</v>
      </c>
      <c r="H38" s="18"/>
    </row>
    <row r="39" ht="15.75" customHeight="1">
      <c r="A39" s="27"/>
      <c r="B39" s="28" t="s">
        <v>31</v>
      </c>
      <c r="C39" s="29">
        <v>5.0</v>
      </c>
      <c r="D39" s="29">
        <v>1.0</v>
      </c>
      <c r="E39" s="29">
        <v>2.0</v>
      </c>
      <c r="F39" s="29">
        <v>5.0</v>
      </c>
      <c r="G39" s="29">
        <f t="shared" ref="G39:G40" si="4">F39*E39*D39</f>
        <v>10</v>
      </c>
      <c r="H39" s="18"/>
    </row>
    <row r="40" ht="15.75" customHeight="1">
      <c r="A40" s="27"/>
      <c r="B40" s="28" t="s">
        <v>32</v>
      </c>
      <c r="C40" s="29">
        <v>5.0</v>
      </c>
      <c r="D40" s="29">
        <v>1.0</v>
      </c>
      <c r="E40" s="29">
        <v>2.0</v>
      </c>
      <c r="F40" s="29">
        <v>5.0</v>
      </c>
      <c r="G40" s="29">
        <f t="shared" si="4"/>
        <v>10</v>
      </c>
      <c r="H40" s="21"/>
    </row>
    <row r="41" ht="15.75" customHeight="1">
      <c r="A41" s="27"/>
    </row>
    <row r="42" ht="15.75" customHeight="1">
      <c r="A42" s="27"/>
      <c r="B42" s="30" t="s">
        <v>33</v>
      </c>
      <c r="C42" s="31"/>
      <c r="D42" s="4"/>
      <c r="E42" s="4"/>
      <c r="F42" s="4"/>
      <c r="G42" s="4"/>
      <c r="H42" s="5"/>
    </row>
    <row r="43" ht="15.75" customHeight="1">
      <c r="A43" s="27"/>
      <c r="B43" s="32" t="s">
        <v>1</v>
      </c>
      <c r="C43" s="33"/>
      <c r="D43" s="34" t="str">
        <f>IF(C43&gt;4,"No viable","Viable")</f>
        <v>Viable</v>
      </c>
      <c r="E43" s="34" t="str">
        <f>CONCATENATE("Las semanas destinadas son: "&amp; C43)</f>
        <v>Las semanas destinadas son: </v>
      </c>
      <c r="F43" s="9"/>
      <c r="G43" s="9"/>
      <c r="H43" s="10"/>
    </row>
    <row r="44" ht="15.75" customHeight="1">
      <c r="A44" s="27"/>
      <c r="B44" s="35" t="s">
        <v>2</v>
      </c>
      <c r="C44" s="36" t="s">
        <v>3</v>
      </c>
      <c r="D44" s="36" t="s">
        <v>4</v>
      </c>
      <c r="E44" s="36" t="s">
        <v>5</v>
      </c>
      <c r="F44" s="36" t="s">
        <v>6</v>
      </c>
      <c r="G44" s="36" t="s">
        <v>7</v>
      </c>
      <c r="H44" s="37" t="s">
        <v>8</v>
      </c>
    </row>
    <row r="45" ht="15.75" customHeight="1">
      <c r="A45" s="27"/>
      <c r="B45" s="28" t="s">
        <v>34</v>
      </c>
      <c r="C45" s="29">
        <v>8.0</v>
      </c>
      <c r="D45" s="29">
        <v>1.0</v>
      </c>
      <c r="E45" s="29">
        <v>3.0</v>
      </c>
      <c r="F45" s="29">
        <v>5.0</v>
      </c>
      <c r="G45" s="29">
        <f t="shared" ref="G45:G48" si="5">F45*E45*D45</f>
        <v>15</v>
      </c>
      <c r="H45" s="17">
        <f>AVERAGE(C45:C48)</f>
        <v>6.75</v>
      </c>
    </row>
    <row r="46" ht="15.75" customHeight="1">
      <c r="A46" s="27"/>
      <c r="B46" s="28" t="s">
        <v>35</v>
      </c>
      <c r="C46" s="29">
        <v>8.0</v>
      </c>
      <c r="D46" s="29">
        <v>1.0</v>
      </c>
      <c r="E46" s="29">
        <v>4.0</v>
      </c>
      <c r="F46" s="29">
        <v>5.0</v>
      </c>
      <c r="G46" s="29">
        <f t="shared" si="5"/>
        <v>20</v>
      </c>
      <c r="H46" s="18"/>
    </row>
    <row r="47" ht="15.75" customHeight="1">
      <c r="A47" s="27"/>
      <c r="B47" s="28" t="s">
        <v>36</v>
      </c>
      <c r="C47" s="29">
        <v>8.0</v>
      </c>
      <c r="D47" s="29">
        <v>1.0</v>
      </c>
      <c r="E47" s="29">
        <v>3.0</v>
      </c>
      <c r="F47" s="29">
        <v>5.0</v>
      </c>
      <c r="G47" s="29">
        <f t="shared" si="5"/>
        <v>15</v>
      </c>
      <c r="H47" s="18"/>
    </row>
    <row r="48" ht="15.75" customHeight="1">
      <c r="A48" s="27"/>
      <c r="B48" s="28" t="s">
        <v>37</v>
      </c>
      <c r="C48" s="29">
        <v>3.0</v>
      </c>
      <c r="D48" s="29">
        <v>1.0</v>
      </c>
      <c r="E48" s="29">
        <v>2.0</v>
      </c>
      <c r="F48" s="29">
        <v>5.0</v>
      </c>
      <c r="G48" s="29">
        <f t="shared" si="5"/>
        <v>10</v>
      </c>
      <c r="H48" s="21"/>
    </row>
    <row r="49" ht="15.75" customHeight="1"/>
    <row r="50" ht="15.75" customHeight="1">
      <c r="A50" s="38"/>
      <c r="B50" s="30" t="s">
        <v>38</v>
      </c>
      <c r="C50" s="31"/>
      <c r="D50" s="4"/>
      <c r="E50" s="4"/>
      <c r="F50" s="4"/>
      <c r="G50" s="4"/>
      <c r="H50" s="5"/>
    </row>
    <row r="51" ht="15.75" customHeight="1">
      <c r="A51" s="38"/>
      <c r="B51" s="32" t="s">
        <v>1</v>
      </c>
      <c r="C51" s="33"/>
      <c r="D51" s="34" t="str">
        <f>IF(C51&gt;4,"No viable","Viable")</f>
        <v>Viable</v>
      </c>
      <c r="E51" s="34" t="str">
        <f>CONCATENATE("Las semanas destinadas son: "&amp; C51)</f>
        <v>Las semanas destinadas son: </v>
      </c>
      <c r="F51" s="9"/>
      <c r="G51" s="9"/>
      <c r="H51" s="10"/>
    </row>
    <row r="52" ht="15.75" customHeight="1">
      <c r="A52" s="38"/>
      <c r="B52" s="35" t="s">
        <v>2</v>
      </c>
      <c r="C52" s="36" t="s">
        <v>3</v>
      </c>
      <c r="D52" s="36" t="s">
        <v>4</v>
      </c>
      <c r="E52" s="36" t="s">
        <v>5</v>
      </c>
      <c r="F52" s="36" t="s">
        <v>6</v>
      </c>
      <c r="G52" s="36" t="s">
        <v>7</v>
      </c>
      <c r="H52" s="37" t="s">
        <v>8</v>
      </c>
    </row>
    <row r="53" ht="15.75" customHeight="1">
      <c r="A53" s="38"/>
      <c r="B53" s="39" t="s">
        <v>39</v>
      </c>
      <c r="C53" s="40">
        <v>5.0</v>
      </c>
      <c r="D53" s="40">
        <v>2.0</v>
      </c>
      <c r="E53" s="40">
        <v>5.0</v>
      </c>
      <c r="F53" s="40">
        <v>4.0</v>
      </c>
      <c r="G53" s="16">
        <f t="shared" ref="G53:G56" si="6">D53*E53*F53</f>
        <v>40</v>
      </c>
      <c r="H53" s="17">
        <f>AVERAGE(C53:C56)</f>
        <v>4</v>
      </c>
    </row>
    <row r="54" ht="15.75" customHeight="1">
      <c r="A54" s="38"/>
      <c r="B54" s="39" t="s">
        <v>40</v>
      </c>
      <c r="C54" s="40">
        <v>3.0</v>
      </c>
      <c r="D54" s="40">
        <v>1.0</v>
      </c>
      <c r="E54" s="40">
        <v>5.0</v>
      </c>
      <c r="F54" s="40">
        <v>4.0</v>
      </c>
      <c r="G54" s="16">
        <f t="shared" si="6"/>
        <v>20</v>
      </c>
      <c r="H54" s="18"/>
    </row>
    <row r="55" ht="15.75" customHeight="1">
      <c r="A55" s="38"/>
      <c r="B55" s="39" t="s">
        <v>41</v>
      </c>
      <c r="C55" s="40">
        <v>3.0</v>
      </c>
      <c r="D55" s="40">
        <v>1.0</v>
      </c>
      <c r="E55" s="40">
        <v>5.0</v>
      </c>
      <c r="F55" s="40">
        <v>4.0</v>
      </c>
      <c r="G55" s="16">
        <f t="shared" si="6"/>
        <v>20</v>
      </c>
      <c r="H55" s="18"/>
    </row>
    <row r="56" ht="15.75" customHeight="1">
      <c r="A56" s="38"/>
      <c r="B56" s="41" t="s">
        <v>42</v>
      </c>
      <c r="C56" s="42">
        <v>5.0</v>
      </c>
      <c r="D56" s="40">
        <v>2.0</v>
      </c>
      <c r="E56" s="42">
        <v>5.0</v>
      </c>
      <c r="F56" s="42">
        <v>4.0</v>
      </c>
      <c r="G56" s="16">
        <f t="shared" si="6"/>
        <v>40</v>
      </c>
      <c r="H56" s="21"/>
    </row>
    <row r="57" ht="15.75" customHeight="1">
      <c r="A57" s="38"/>
    </row>
    <row r="58" ht="15.75" customHeight="1">
      <c r="A58" s="38"/>
      <c r="B58" s="30" t="s">
        <v>43</v>
      </c>
      <c r="C58" s="31"/>
      <c r="D58" s="4"/>
      <c r="E58" s="4"/>
      <c r="F58" s="4"/>
      <c r="G58" s="4"/>
      <c r="H58" s="5"/>
    </row>
    <row r="59" ht="15.75" customHeight="1">
      <c r="A59" s="38"/>
      <c r="B59" s="32" t="s">
        <v>1</v>
      </c>
      <c r="C59" s="33"/>
      <c r="D59" s="34" t="str">
        <f>IF(C59&gt;4,"No viable","Viable")</f>
        <v>Viable</v>
      </c>
      <c r="E59" s="34" t="str">
        <f>CONCATENATE("Las semanas destinadas son: "&amp; C59)</f>
        <v>Las semanas destinadas son: </v>
      </c>
      <c r="F59" s="9"/>
      <c r="G59" s="9"/>
      <c r="H59" s="10"/>
    </row>
    <row r="60" ht="15.75" customHeight="1">
      <c r="A60" s="38"/>
      <c r="B60" s="35" t="s">
        <v>2</v>
      </c>
      <c r="C60" s="36" t="s">
        <v>3</v>
      </c>
      <c r="D60" s="36" t="s">
        <v>4</v>
      </c>
      <c r="E60" s="36" t="s">
        <v>5</v>
      </c>
      <c r="F60" s="36" t="s">
        <v>6</v>
      </c>
      <c r="G60" s="36" t="s">
        <v>7</v>
      </c>
      <c r="H60" s="37" t="s">
        <v>8</v>
      </c>
    </row>
    <row r="61" ht="15.75" customHeight="1">
      <c r="A61" s="38"/>
      <c r="B61" s="39" t="s">
        <v>44</v>
      </c>
      <c r="C61" s="40">
        <v>8.0</v>
      </c>
      <c r="D61" s="40">
        <v>3.0</v>
      </c>
      <c r="E61" s="40">
        <v>5.0</v>
      </c>
      <c r="F61" s="40">
        <v>4.0</v>
      </c>
      <c r="G61" s="16">
        <f t="shared" ref="G61:G64" si="7">D61*E61*F61</f>
        <v>60</v>
      </c>
      <c r="H61" s="17">
        <f>AVERAGE(C61:C64)</f>
        <v>4.75</v>
      </c>
    </row>
    <row r="62" ht="15.75" customHeight="1">
      <c r="A62" s="38"/>
      <c r="B62" s="39" t="s">
        <v>45</v>
      </c>
      <c r="C62" s="40">
        <v>5.0</v>
      </c>
      <c r="D62" s="40">
        <v>2.0</v>
      </c>
      <c r="E62" s="40">
        <v>5.0</v>
      </c>
      <c r="F62" s="40">
        <v>4.0</v>
      </c>
      <c r="G62" s="16">
        <f t="shared" si="7"/>
        <v>40</v>
      </c>
      <c r="H62" s="18"/>
    </row>
    <row r="63" ht="15.75" customHeight="1">
      <c r="A63" s="38"/>
      <c r="B63" s="39" t="s">
        <v>46</v>
      </c>
      <c r="C63" s="40">
        <v>3.0</v>
      </c>
      <c r="D63" s="40">
        <v>1.0</v>
      </c>
      <c r="E63" s="40">
        <v>5.0</v>
      </c>
      <c r="F63" s="40">
        <v>4.0</v>
      </c>
      <c r="G63" s="16">
        <f t="shared" si="7"/>
        <v>20</v>
      </c>
      <c r="H63" s="18"/>
    </row>
    <row r="64" ht="15.75" customHeight="1">
      <c r="A64" s="38"/>
      <c r="B64" s="41" t="s">
        <v>47</v>
      </c>
      <c r="C64" s="42">
        <v>3.0</v>
      </c>
      <c r="D64" s="40">
        <v>1.0</v>
      </c>
      <c r="E64" s="42">
        <v>5.0</v>
      </c>
      <c r="F64" s="42">
        <v>4.0</v>
      </c>
      <c r="G64" s="16">
        <f t="shared" si="7"/>
        <v>20</v>
      </c>
      <c r="H64" s="2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4">
    <mergeCell ref="H13:H16"/>
    <mergeCell ref="H21:H24"/>
    <mergeCell ref="H29:H32"/>
    <mergeCell ref="H37:H40"/>
    <mergeCell ref="H45:H48"/>
    <mergeCell ref="H53:H56"/>
    <mergeCell ref="H61:H64"/>
    <mergeCell ref="C2:H2"/>
    <mergeCell ref="E3:H3"/>
    <mergeCell ref="H5:H8"/>
    <mergeCell ref="C10:H10"/>
    <mergeCell ref="E11:H11"/>
    <mergeCell ref="C18:H18"/>
    <mergeCell ref="E19:H19"/>
    <mergeCell ref="E51:H51"/>
    <mergeCell ref="C58:H58"/>
    <mergeCell ref="E59:H59"/>
    <mergeCell ref="C26:H26"/>
    <mergeCell ref="E27:H27"/>
    <mergeCell ref="C34:H34"/>
    <mergeCell ref="E35:H35"/>
    <mergeCell ref="C42:H42"/>
    <mergeCell ref="E43:H43"/>
    <mergeCell ref="C50:H50"/>
  </mergeCells>
  <dataValidations>
    <dataValidation type="decimal" operator="lessThanOrEqual" allowBlank="1" showDropDown="1" showErrorMessage="1" sqref="C3 C11 C19 C27 C35 C43 C51 C59">
      <formula1>4.0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2026-05-04T16:39:58Z</dcterms:created>
  <dc:creator>Camilo's PC</dc:creator>
</cp:coreProperties>
</file>